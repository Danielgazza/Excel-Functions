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FE4DD91-461E-4685-95FE-EF7739BB5A06}" xr6:coauthVersionLast="47" xr6:coauthVersionMax="47" xr10:uidLastSave="{00000000-0000-0000-0000-000000000000}"/>
  <bookViews>
    <workbookView xWindow="-120" yWindow="-120" windowWidth="20730" windowHeight="11160" xr2:uid="{F8CC6D56-DE63-4E5B-8DA7-A5A4460ADDE7}"/>
  </bookViews>
  <sheets>
    <sheet name="Customer_Data" sheetId="1" r:id="rId1"/>
    <sheet name="Cleaned" sheetId="7" r:id="rId2"/>
    <sheet name="Vlook_Up" sheetId="2" r:id="rId3"/>
    <sheet name="Hlook_Up" sheetId="3" r:id="rId4"/>
    <sheet name="Index&amp;Match" sheetId="4" r:id="rId5"/>
    <sheet name="IF" sheetId="5" r:id="rId6"/>
    <sheet name="Concatenate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E2" i="6"/>
  <c r="E3" i="6"/>
  <c r="E4" i="6"/>
  <c r="E5" i="6"/>
  <c r="E6" i="6"/>
  <c r="E7" i="6"/>
  <c r="E8" i="6"/>
  <c r="E9" i="6"/>
  <c r="D2" i="6"/>
  <c r="D3" i="6"/>
  <c r="D4" i="6"/>
  <c r="D5" i="6"/>
  <c r="D6" i="6"/>
  <c r="D7" i="6"/>
  <c r="D8" i="6"/>
  <c r="D9" i="6"/>
  <c r="C2" i="6"/>
  <c r="C3" i="6"/>
  <c r="C4" i="6"/>
  <c r="C5" i="6"/>
  <c r="C6" i="6"/>
  <c r="C7" i="6"/>
  <c r="C8" i="6"/>
  <c r="C9" i="6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K4" i="4"/>
  <c r="K5" i="4"/>
  <c r="K6" i="4"/>
  <c r="K3" i="4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sharedStrings.xml><?xml version="1.0" encoding="utf-8"?>
<sst xmlns="http://schemas.openxmlformats.org/spreadsheetml/2006/main" count="370" uniqueCount="126">
  <si>
    <t>Customer ID</t>
  </si>
  <si>
    <t>Name</t>
  </si>
  <si>
    <t>Last Name</t>
  </si>
  <si>
    <t>Company</t>
  </si>
  <si>
    <t>Ben</t>
  </si>
  <si>
    <t>Mann</t>
  </si>
  <si>
    <t>XYZ Outdoors</t>
  </si>
  <si>
    <t>Sandy</t>
  </si>
  <si>
    <t>Griffith</t>
  </si>
  <si>
    <t>Centurion Tech</t>
  </si>
  <si>
    <t>Dean</t>
  </si>
  <si>
    <t>Fraiser</t>
  </si>
  <si>
    <t>Premier Merch</t>
  </si>
  <si>
    <t>Ian</t>
  </si>
  <si>
    <t>Barlow</t>
  </si>
  <si>
    <t>Shoe Cosmetics</t>
  </si>
  <si>
    <t>Patricia</t>
  </si>
  <si>
    <t>Anderson</t>
  </si>
  <si>
    <t>Vintage Enterprise</t>
  </si>
  <si>
    <t>Scott</t>
  </si>
  <si>
    <t>Steck</t>
  </si>
  <si>
    <t>Classical Shop</t>
  </si>
  <si>
    <t>Gina</t>
  </si>
  <si>
    <t>Minor</t>
  </si>
  <si>
    <t>GoodStuff Company</t>
  </si>
  <si>
    <t>Fletcher</t>
  </si>
  <si>
    <t>Donald</t>
  </si>
  <si>
    <t>Lake Athletics</t>
  </si>
  <si>
    <t>Jeff</t>
  </si>
  <si>
    <t>Mworia</t>
  </si>
  <si>
    <t>Universal Supply</t>
  </si>
  <si>
    <t>Alfredo</t>
  </si>
  <si>
    <t>Newell</t>
  </si>
  <si>
    <t>Feet Center</t>
  </si>
  <si>
    <t>Natalie</t>
  </si>
  <si>
    <t>Shaver</t>
  </si>
  <si>
    <t>Mobile North</t>
  </si>
  <si>
    <t>Michael</t>
  </si>
  <si>
    <t>Cid</t>
  </si>
  <si>
    <t>Market Naturals</t>
  </si>
  <si>
    <t>Mike</t>
  </si>
  <si>
    <t>Nims</t>
  </si>
  <si>
    <t>Goal Diner</t>
  </si>
  <si>
    <t>Alex</t>
  </si>
  <si>
    <t>Moore</t>
  </si>
  <si>
    <t>Zero Enterprises</t>
  </si>
  <si>
    <t>Kevin</t>
  </si>
  <si>
    <t>Amos</t>
  </si>
  <si>
    <t>Upgrade Cosmetics</t>
  </si>
  <si>
    <t>Soyab</t>
  </si>
  <si>
    <t>Southern</t>
  </si>
  <si>
    <t>DayPoint Supplies</t>
  </si>
  <si>
    <t>Rhonda</t>
  </si>
  <si>
    <t>Nieto</t>
  </si>
  <si>
    <t>Benchmark Solutions</t>
  </si>
  <si>
    <t>Subodh</t>
  </si>
  <si>
    <t>Montaner</t>
  </si>
  <si>
    <t>Valley Pewter</t>
  </si>
  <si>
    <t>Evan</t>
  </si>
  <si>
    <t>Jaffe</t>
  </si>
  <si>
    <t>NewTelligence</t>
  </si>
  <si>
    <t>Bassett</t>
  </si>
  <si>
    <t>Move Lighning</t>
  </si>
  <si>
    <t>Student ID</t>
  </si>
  <si>
    <t>Result</t>
  </si>
  <si>
    <t>Column1</t>
  </si>
  <si>
    <t>Student Mark</t>
  </si>
  <si>
    <t>Grade</t>
  </si>
  <si>
    <t>Golan</t>
  </si>
  <si>
    <t>Maughan</t>
  </si>
  <si>
    <t>Fail</t>
  </si>
  <si>
    <t>Jim</t>
  </si>
  <si>
    <t>Browes</t>
  </si>
  <si>
    <t>E</t>
  </si>
  <si>
    <t>John</t>
  </si>
  <si>
    <t>Shekhar</t>
  </si>
  <si>
    <t>D</t>
  </si>
  <si>
    <t>Linda</t>
  </si>
  <si>
    <t>C</t>
  </si>
  <si>
    <t>Missing</t>
  </si>
  <si>
    <t>B</t>
  </si>
  <si>
    <t>Katie</t>
  </si>
  <si>
    <t>Madill</t>
  </si>
  <si>
    <t>A</t>
  </si>
  <si>
    <t>A+</t>
  </si>
  <si>
    <t>Geoff</t>
  </si>
  <si>
    <t>Bauer</t>
  </si>
  <si>
    <t>Wendy</t>
  </si>
  <si>
    <t>Rogers</t>
  </si>
  <si>
    <t>Gill</t>
  </si>
  <si>
    <t>Machado</t>
  </si>
  <si>
    <t>Emily</t>
  </si>
  <si>
    <t>Noble</t>
  </si>
  <si>
    <t>Patrick</t>
  </si>
  <si>
    <t>Altern</t>
  </si>
  <si>
    <t>Jennifer</t>
  </si>
  <si>
    <t>Burgess</t>
  </si>
  <si>
    <t>Jeremy</t>
  </si>
  <si>
    <t>Janet</t>
  </si>
  <si>
    <t>Collins</t>
  </si>
  <si>
    <t>Craig</t>
  </si>
  <si>
    <t>Forrest</t>
  </si>
  <si>
    <t>Kurt</t>
  </si>
  <si>
    <t>Weaver</t>
  </si>
  <si>
    <t>Kerry</t>
  </si>
  <si>
    <t>Angel</t>
  </si>
  <si>
    <t>Math</t>
  </si>
  <si>
    <t>Socials</t>
  </si>
  <si>
    <t>Science</t>
  </si>
  <si>
    <t>P.E.</t>
  </si>
  <si>
    <t>Fields</t>
  </si>
  <si>
    <t>Student Data</t>
  </si>
  <si>
    <t>Average</t>
  </si>
  <si>
    <t>Principal's Honour Roll 85% - 100%</t>
  </si>
  <si>
    <t>Honour Roll 80% - 84.5%</t>
  </si>
  <si>
    <t>Risk  60%-65%, rest OK</t>
  </si>
  <si>
    <t>Fail                      Average&lt;60% or Math&lt;60</t>
  </si>
  <si>
    <t>PHR</t>
  </si>
  <si>
    <t>HR</t>
  </si>
  <si>
    <t>R</t>
  </si>
  <si>
    <t>F</t>
  </si>
  <si>
    <t>First Name</t>
  </si>
  <si>
    <t>N+LN</t>
  </si>
  <si>
    <t>N+Space+LN</t>
  </si>
  <si>
    <t>LN+Comma+Space+N</t>
  </si>
  <si>
    <t>N+.+LN+@+Domain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</si>
</sst>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2AFD97A-8E32-4FF1-A043-B7793BC14F0D}" name="Table18" displayName="Table18" ref="A1:D21" totalsRowShown="0">
  <autoFilter ref="A1:D21" xr:uid="{42AFD97A-8E32-4FF1-A043-B7793BC14F0D}"/>
  <tableColumns count="4">
    <tableColumn id="1" xr3:uid="{6BDFB127-B9C3-4C39-B305-617391A42471}" name="Customer ID"/>
    <tableColumn id="2" xr3:uid="{0E4D1536-73EA-4C03-AB11-62D2E2DED590}" name="Name"/>
    <tableColumn id="3" xr3:uid="{724677FA-626D-42F6-828E-7686A26009CD}" name="Last Name"/>
    <tableColumn id="4" xr3:uid="{ECAD1DE0-71BB-4044-9E94-E054FD9BBD52}" name="Compan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CD0AB7-459C-4E1F-BE60-39B6A26A0D0E}" name="StudentTable" displayName="StudentTable" ref="A1:E21" totalsRowShown="0">
  <autoFilter ref="A1:E21" xr:uid="{46CD0AB7-459C-4E1F-BE60-39B6A26A0D0E}"/>
  <sortState xmlns:xlrd2="http://schemas.microsoft.com/office/spreadsheetml/2017/richdata2" ref="A2:E21">
    <sortCondition ref="A1:A21"/>
  </sortState>
  <tableColumns count="5">
    <tableColumn id="1" xr3:uid="{A8B160CA-C021-436F-B887-EE5F155DED71}" name="Student ID"/>
    <tableColumn id="2" xr3:uid="{21DCF825-C5FB-4A25-8BD2-BB3D769B1466}" name="Name"/>
    <tableColumn id="3" xr3:uid="{6E0F0F5B-6931-4443-A4CE-16FB198D4652}" name="Last Name"/>
    <tableColumn id="4" xr3:uid="{FC5D444E-A88E-4549-BBA9-C4E57795C3A7}" name="Result"/>
    <tableColumn id="5" xr3:uid="{73A57CA9-92DE-468A-BE48-5624BE3790D9}" name="Column1" dataDxfId="10">
      <calculatedColumnFormula>VLOOKUP(D2,GradeEquivalents[#All],2,TRUE)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71D180-E846-4517-84CF-F58F47F8B8FD}" name="GradeEquivalents" displayName="GradeEquivalents" ref="J1:K8" totalsRowShown="0" headerRowDxfId="17" dataDxfId="16">
  <autoFilter ref="J1:K8" xr:uid="{A071D180-E846-4517-84CF-F58F47F8B8FD}"/>
  <tableColumns count="2">
    <tableColumn id="1" xr3:uid="{5021287A-851B-43A8-B5B3-915448188811}" name="Student Mark" dataDxfId="15"/>
    <tableColumn id="2" xr3:uid="{7DC25AED-2990-47D2-B8CE-F989F340BC92}" name="Grad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BF2F52-2C58-4B60-8BF5-CFF118F5C821}" name="StudentTable1126" displayName="StudentTable1126" ref="A1:E21" totalsRowShown="0">
  <autoFilter ref="A1:E21" xr:uid="{BFBF2F52-2C58-4B60-8BF5-CFF118F5C821}"/>
  <sortState xmlns:xlrd2="http://schemas.microsoft.com/office/spreadsheetml/2017/richdata2" ref="A2:E21">
    <sortCondition ref="A1:A21"/>
  </sortState>
  <tableColumns count="5">
    <tableColumn id="1" xr3:uid="{C91C0B23-BA14-4BBB-ABB1-E84D87B30F32}" name="Student ID"/>
    <tableColumn id="2" xr3:uid="{35378A40-C6A0-4CC9-9958-273495633BF3}" name="Name"/>
    <tableColumn id="3" xr3:uid="{83B75495-7D27-4D79-BCE3-35AFCE516AA4}" name="Last Name"/>
    <tableColumn id="4" xr3:uid="{DD8F6236-FCE4-4630-9F74-8BAE58422257}" name="Result"/>
    <tableColumn id="5" xr3:uid="{E43AFC1D-C552-44D8-96C9-C45FEC4C0475}" name="Grade" dataDxfId="9">
      <calculatedColumnFormula>HLOOKUP(D2,$H$3:$O$4,2,TRUE)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5E9702-68C6-42AF-AEA7-F8F3AB1EE6ED}" name="Table2" displayName="Table2" ref="A1:G21" totalsRowShown="0">
  <autoFilter ref="A1:G21" xr:uid="{4D5E9702-68C6-42AF-AEA7-F8F3AB1EE6ED}"/>
  <sortState xmlns:xlrd2="http://schemas.microsoft.com/office/spreadsheetml/2017/richdata2" ref="A2:G21">
    <sortCondition ref="C1:C21"/>
  </sortState>
  <tableColumns count="7">
    <tableColumn id="1" xr3:uid="{D945AB3C-8478-4573-9B24-E20AE96F9FAF}" name="Student ID"/>
    <tableColumn id="2" xr3:uid="{5F5AE3C0-9A7C-4EDA-945C-38B9E4C35068}" name="Name"/>
    <tableColumn id="3" xr3:uid="{44D466ED-C303-42AC-A157-79C25897D455}" name="Last Name"/>
    <tableColumn id="4" xr3:uid="{7C9E4869-E060-4A36-A871-7FA890DE4F68}" name="Math"/>
    <tableColumn id="5" xr3:uid="{D74EF81D-B2B9-45A1-BA55-FE3F0A00FED9}" name="Socials"/>
    <tableColumn id="6" xr3:uid="{869AFC8C-B6DD-4E81-B6A7-AF41A842FD23}" name="Science"/>
    <tableColumn id="7" xr3:uid="{B0429084-1631-4432-B120-EFDDB1CCFF41}" name="P.E.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C2DB31-F4E2-4A85-962F-86E2DE88D267}" name="Table4" displayName="Table4" ref="J1:K6" totalsRowShown="0">
  <autoFilter ref="J1:K6" xr:uid="{EAC2DB31-F4E2-4A85-962F-86E2DE88D267}"/>
  <tableColumns count="2">
    <tableColumn id="1" xr3:uid="{764CC3E9-ECA8-43B5-A538-D99333F8986A}" name="Fields"/>
    <tableColumn id="2" xr3:uid="{5BE9B09D-305A-4DB1-8966-2B43A3E69CEE}" name="Student D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B2E248B-B366-4930-8372-BCC58110A6D6}" name="Table212" displayName="Table212" ref="A1:H21" totalsRowShown="0">
  <autoFilter ref="A1:H21" xr:uid="{9B2E248B-B366-4930-8372-BCC58110A6D6}"/>
  <sortState xmlns:xlrd2="http://schemas.microsoft.com/office/spreadsheetml/2017/richdata2" ref="A2:G21">
    <sortCondition ref="C1:C21"/>
  </sortState>
  <tableColumns count="8">
    <tableColumn id="1" xr3:uid="{B9A80125-24B4-4E64-B010-47B2BE61EC0B}" name="Student ID"/>
    <tableColumn id="2" xr3:uid="{7E668E08-F7AB-4D1F-8252-A8E16D6839EA}" name="Name"/>
    <tableColumn id="3" xr3:uid="{0E59BF20-1DB1-4BB3-BBF9-B710666F54A7}" name="Last Name"/>
    <tableColumn id="4" xr3:uid="{2F4D03AD-4820-40BD-9163-98410AEB54FA}" name="Math"/>
    <tableColumn id="5" xr3:uid="{41A6AEE6-E002-45B1-8DBD-F2D44E3D765C}" name="Socials"/>
    <tableColumn id="6" xr3:uid="{525E92E2-D312-4C1E-BD13-8C77118DCDE7}" name="Science"/>
    <tableColumn id="7" xr3:uid="{632ACDAE-AF3B-44AA-8183-6BE13408EBF4}" name="P.E."/>
    <tableColumn id="8" xr3:uid="{55563E1E-08E4-4E5A-9EF3-F7B3438E77B7}" name="Average" dataDxfId="13">
      <calculatedColumnFormula>AVERAGE(Table212[[#This Row],[Math]:[P.E.]])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7A8D450-C06E-49CB-AA28-342C704B758E}" name="Table13" displayName="Table13" ref="J1:M21" totalsRowShown="0" headerRowDxfId="12" dataDxfId="11">
  <autoFilter ref="J1:M21" xr:uid="{C7A8D450-C06E-49CB-AA28-342C704B758E}"/>
  <tableColumns count="4">
    <tableColumn id="1" xr3:uid="{CAEB9A8A-B6A2-4C0B-AAF3-AA3B081983E2}" name="Principal's Honour Roll 85% - 100%" dataDxfId="8">
      <calculatedColumnFormula>IF(H2&gt;$P$3,$O$3,"")</calculatedColumnFormula>
    </tableColumn>
    <tableColumn id="2" xr3:uid="{1F039F1D-1CEA-4D9E-8C92-57500BEF0807}" name="Honour Roll 80% - 84.5%" dataDxfId="7">
      <calculatedColumnFormula>IF(AND(H2&gt;$P$5,H2&lt;$Q$5),$O$5,"")</calculatedColumnFormula>
    </tableColumn>
    <tableColumn id="3" xr3:uid="{13856317-D809-4B34-A0F4-A75B066A8D39}" name="Risk  60%-65%, rest OK" dataDxfId="6">
      <calculatedColumnFormula>IF(AND(H2&gt;$P$7,H2&lt;$Q$7),$O$7,IF(AND(H2&gt;$Q$7,H2&lt;$P$5),"OK",""))</calculatedColumnFormula>
    </tableColumn>
    <tableColumn id="4" xr3:uid="{073CCB6E-F9A3-45CD-9E5A-AE3DCEEDE0E4}" name="Fail                      Average&lt;60% or Math&lt;60" dataDxfId="5">
      <calculatedColumnFormula>IF(OR(H2&lt;$Q$9,D2&lt;$Q$11),"follow up","")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1E571D9-DBA8-489A-8A7A-F2E297274192}" name="Table31617" displayName="Table31617" ref="A1:F9" totalsRowShown="0" headerRowDxfId="4">
  <autoFilter ref="A1:F9" xr:uid="{E1E571D9-DBA8-489A-8A7A-F2E297274192}"/>
  <tableColumns count="6">
    <tableColumn id="1" xr3:uid="{54A039D6-831B-4138-8BB7-1C76D4336CE6}" name="First Name"/>
    <tableColumn id="2" xr3:uid="{0B27B965-C1AB-44BB-A118-1C80CC998D70}" name="Last Name"/>
    <tableColumn id="3" xr3:uid="{FE707F28-32B3-4ACB-8808-D236D89A6C03}" name="N+LN" dataDxfId="3">
      <calculatedColumnFormula>CONCATENATE(A2,B2)</calculatedColumnFormula>
    </tableColumn>
    <tableColumn id="4" xr3:uid="{111D181E-CBCE-4ECE-A225-E140FCC6383F}" name="N+Space+LN" dataDxfId="2">
      <calculatedColumnFormula>CONCATENATE(A2," ",B2)</calculatedColumnFormula>
    </tableColumn>
    <tableColumn id="5" xr3:uid="{4A50D3B0-87A0-41C6-9D97-4047CEEBED30}" name="LN+Comma+Space+N" dataDxfId="1">
      <calculatedColumnFormula>CONCATENATE(A2,","," ",B2)</calculatedColumnFormula>
    </tableColumn>
    <tableColumn id="6" xr3:uid="{C76089C5-BF45-483A-A5C8-6B25127368F0}" name="N+.+LN+@+Domain" dataDxfId="0">
      <calculatedColumnFormula>CONCATENATE(A2,".",B2,"@","gmail.com")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F686-938D-48E8-B408-6B4BC47E41ED}">
  <dimension ref="A1:D21"/>
  <sheetViews>
    <sheetView tabSelected="1" workbookViewId="0">
      <selection activeCell="H21" sqref="H21"/>
    </sheetView>
  </sheetViews>
  <sheetFormatPr defaultRowHeight="15" x14ac:dyDescent="0.25"/>
  <cols>
    <col min="1" max="1" width="11.85546875" bestFit="1" customWidth="1"/>
    <col min="2" max="2" width="8.28515625" bestFit="1" customWidth="1"/>
    <col min="3" max="3" width="10.140625" bestFit="1" customWidth="1"/>
    <col min="4" max="4" width="1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18</v>
      </c>
    </row>
    <row r="7" spans="1:4" x14ac:dyDescent="0.25">
      <c r="A7">
        <v>6</v>
      </c>
      <c r="B7" t="s">
        <v>19</v>
      </c>
      <c r="C7" t="s">
        <v>20</v>
      </c>
      <c r="D7" t="s">
        <v>21</v>
      </c>
    </row>
    <row r="8" spans="1:4" x14ac:dyDescent="0.25">
      <c r="A8">
        <v>7</v>
      </c>
      <c r="B8" t="s">
        <v>22</v>
      </c>
      <c r="C8" t="s">
        <v>23</v>
      </c>
      <c r="D8" t="s">
        <v>24</v>
      </c>
    </row>
    <row r="9" spans="1:4" x14ac:dyDescent="0.25">
      <c r="A9">
        <v>8</v>
      </c>
      <c r="B9" t="s">
        <v>25</v>
      </c>
      <c r="C9" t="s">
        <v>26</v>
      </c>
      <c r="D9" t="s">
        <v>27</v>
      </c>
    </row>
    <row r="10" spans="1:4" x14ac:dyDescent="0.25">
      <c r="A10">
        <v>9</v>
      </c>
      <c r="B10" t="s">
        <v>28</v>
      </c>
      <c r="C10" t="s">
        <v>29</v>
      </c>
      <c r="D10" t="s">
        <v>30</v>
      </c>
    </row>
    <row r="11" spans="1:4" x14ac:dyDescent="0.25">
      <c r="A11">
        <v>10</v>
      </c>
      <c r="B11" t="s">
        <v>31</v>
      </c>
      <c r="C11" t="s">
        <v>32</v>
      </c>
      <c r="D11" t="s">
        <v>33</v>
      </c>
    </row>
    <row r="12" spans="1:4" x14ac:dyDescent="0.25">
      <c r="A12">
        <v>11</v>
      </c>
      <c r="B12" t="s">
        <v>34</v>
      </c>
      <c r="C12" t="s">
        <v>35</v>
      </c>
      <c r="D12" t="s">
        <v>36</v>
      </c>
    </row>
    <row r="13" spans="1:4" x14ac:dyDescent="0.25">
      <c r="A13">
        <v>12</v>
      </c>
      <c r="B13" t="s">
        <v>37</v>
      </c>
      <c r="C13" t="s">
        <v>38</v>
      </c>
      <c r="D13" t="s">
        <v>39</v>
      </c>
    </row>
    <row r="14" spans="1:4" x14ac:dyDescent="0.25">
      <c r="A14">
        <v>13</v>
      </c>
      <c r="B14" t="s">
        <v>40</v>
      </c>
      <c r="C14" t="s">
        <v>41</v>
      </c>
      <c r="D14" t="s">
        <v>42</v>
      </c>
    </row>
    <row r="15" spans="1:4" x14ac:dyDescent="0.25">
      <c r="A15">
        <v>14</v>
      </c>
      <c r="B15" t="s">
        <v>43</v>
      </c>
      <c r="C15" t="s">
        <v>44</v>
      </c>
      <c r="D15" t="s">
        <v>45</v>
      </c>
    </row>
    <row r="16" spans="1:4" x14ac:dyDescent="0.25">
      <c r="A16">
        <v>15</v>
      </c>
      <c r="B16" t="s">
        <v>46</v>
      </c>
      <c r="C16" t="s">
        <v>47</v>
      </c>
      <c r="D16" t="s">
        <v>48</v>
      </c>
    </row>
    <row r="17" spans="1:4" x14ac:dyDescent="0.25">
      <c r="A17">
        <v>16</v>
      </c>
      <c r="B17" t="s">
        <v>49</v>
      </c>
      <c r="C17" t="s">
        <v>50</v>
      </c>
      <c r="D17" t="s">
        <v>51</v>
      </c>
    </row>
    <row r="18" spans="1:4" x14ac:dyDescent="0.25">
      <c r="A18">
        <v>17</v>
      </c>
      <c r="B18" t="s">
        <v>52</v>
      </c>
      <c r="C18" t="s">
        <v>53</v>
      </c>
      <c r="D18" t="s">
        <v>54</v>
      </c>
    </row>
    <row r="19" spans="1:4" x14ac:dyDescent="0.25">
      <c r="A19">
        <v>18</v>
      </c>
      <c r="B19" t="s">
        <v>55</v>
      </c>
      <c r="C19" t="s">
        <v>56</v>
      </c>
      <c r="D19" t="s">
        <v>57</v>
      </c>
    </row>
    <row r="20" spans="1:4" x14ac:dyDescent="0.25">
      <c r="A20">
        <v>19</v>
      </c>
      <c r="B20" t="s">
        <v>58</v>
      </c>
      <c r="C20" t="s">
        <v>59</v>
      </c>
      <c r="D20" t="s">
        <v>60</v>
      </c>
    </row>
    <row r="21" spans="1:4" x14ac:dyDescent="0.25">
      <c r="A21">
        <v>20</v>
      </c>
      <c r="B21" t="s">
        <v>40</v>
      </c>
      <c r="C21" t="s">
        <v>61</v>
      </c>
      <c r="D2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53E3-85B1-44E1-98B5-5AB1E5140D00}">
  <dimension ref="A1:D21"/>
  <sheetViews>
    <sheetView workbookViewId="0">
      <selection activeCell="H13" sqref="H13"/>
    </sheetView>
  </sheetViews>
  <sheetFormatPr defaultRowHeight="15" x14ac:dyDescent="0.25"/>
  <cols>
    <col min="1" max="1" width="14" customWidth="1"/>
    <col min="2" max="2" width="8.42578125" customWidth="1"/>
    <col min="3" max="3" width="12.28515625" customWidth="1"/>
    <col min="4" max="4" width="1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17</v>
      </c>
      <c r="D6" t="s">
        <v>18</v>
      </c>
    </row>
    <row r="7" spans="1:4" x14ac:dyDescent="0.25">
      <c r="A7">
        <v>6</v>
      </c>
      <c r="B7" t="s">
        <v>19</v>
      </c>
      <c r="C7" t="s">
        <v>20</v>
      </c>
      <c r="D7" t="s">
        <v>21</v>
      </c>
    </row>
    <row r="8" spans="1:4" x14ac:dyDescent="0.25">
      <c r="A8">
        <v>7</v>
      </c>
      <c r="B8" t="s">
        <v>22</v>
      </c>
      <c r="C8" t="s">
        <v>23</v>
      </c>
      <c r="D8" t="s">
        <v>24</v>
      </c>
    </row>
    <row r="9" spans="1:4" x14ac:dyDescent="0.25">
      <c r="A9">
        <v>8</v>
      </c>
      <c r="B9" t="s">
        <v>25</v>
      </c>
      <c r="C9" t="s">
        <v>26</v>
      </c>
      <c r="D9" t="s">
        <v>27</v>
      </c>
    </row>
    <row r="10" spans="1:4" x14ac:dyDescent="0.25">
      <c r="A10">
        <v>9</v>
      </c>
      <c r="B10" t="s">
        <v>28</v>
      </c>
      <c r="C10" t="s">
        <v>29</v>
      </c>
      <c r="D10" t="s">
        <v>30</v>
      </c>
    </row>
    <row r="11" spans="1:4" x14ac:dyDescent="0.25">
      <c r="A11">
        <v>10</v>
      </c>
      <c r="B11" t="s">
        <v>31</v>
      </c>
      <c r="C11" t="s">
        <v>32</v>
      </c>
      <c r="D11" t="s">
        <v>33</v>
      </c>
    </row>
    <row r="12" spans="1:4" x14ac:dyDescent="0.25">
      <c r="A12">
        <v>11</v>
      </c>
      <c r="B12" t="s">
        <v>34</v>
      </c>
      <c r="C12" t="s">
        <v>35</v>
      </c>
      <c r="D12" t="s">
        <v>36</v>
      </c>
    </row>
    <row r="13" spans="1:4" x14ac:dyDescent="0.25">
      <c r="A13">
        <v>12</v>
      </c>
      <c r="B13" t="s">
        <v>37</v>
      </c>
      <c r="C13" t="s">
        <v>38</v>
      </c>
      <c r="D13" t="s">
        <v>39</v>
      </c>
    </row>
    <row r="14" spans="1:4" x14ac:dyDescent="0.25">
      <c r="A14">
        <v>13</v>
      </c>
      <c r="B14" t="s">
        <v>40</v>
      </c>
      <c r="C14" t="s">
        <v>41</v>
      </c>
      <c r="D14" t="s">
        <v>42</v>
      </c>
    </row>
    <row r="15" spans="1:4" x14ac:dyDescent="0.25">
      <c r="A15">
        <v>14</v>
      </c>
      <c r="B15" t="s">
        <v>43</v>
      </c>
      <c r="C15" t="s">
        <v>44</v>
      </c>
      <c r="D15" t="s">
        <v>45</v>
      </c>
    </row>
    <row r="16" spans="1:4" x14ac:dyDescent="0.25">
      <c r="A16">
        <v>15</v>
      </c>
      <c r="B16" t="s">
        <v>46</v>
      </c>
      <c r="C16" t="s">
        <v>47</v>
      </c>
      <c r="D16" t="s">
        <v>48</v>
      </c>
    </row>
    <row r="17" spans="1:4" x14ac:dyDescent="0.25">
      <c r="A17">
        <v>16</v>
      </c>
      <c r="B17" t="s">
        <v>49</v>
      </c>
      <c r="C17" t="s">
        <v>50</v>
      </c>
      <c r="D17" t="s">
        <v>51</v>
      </c>
    </row>
    <row r="18" spans="1:4" x14ac:dyDescent="0.25">
      <c r="A18">
        <v>17</v>
      </c>
      <c r="B18" t="s">
        <v>52</v>
      </c>
      <c r="C18" t="s">
        <v>53</v>
      </c>
      <c r="D18" t="s">
        <v>54</v>
      </c>
    </row>
    <row r="19" spans="1:4" x14ac:dyDescent="0.25">
      <c r="A19">
        <v>18</v>
      </c>
      <c r="B19" t="s">
        <v>55</v>
      </c>
      <c r="C19" t="s">
        <v>56</v>
      </c>
      <c r="D19" t="s">
        <v>57</v>
      </c>
    </row>
    <row r="20" spans="1:4" x14ac:dyDescent="0.25">
      <c r="A20">
        <v>19</v>
      </c>
      <c r="B20" t="s">
        <v>58</v>
      </c>
      <c r="C20" t="s">
        <v>59</v>
      </c>
      <c r="D20" t="s">
        <v>60</v>
      </c>
    </row>
    <row r="21" spans="1:4" x14ac:dyDescent="0.25">
      <c r="A21">
        <v>20</v>
      </c>
      <c r="B21" t="s">
        <v>40</v>
      </c>
      <c r="C21" t="s">
        <v>61</v>
      </c>
      <c r="D21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649C-216A-4182-85E4-17ADCAF42744}">
  <dimension ref="A1:K21"/>
  <sheetViews>
    <sheetView workbookViewId="0">
      <selection activeCell="E3" sqref="E3"/>
    </sheetView>
  </sheetViews>
  <sheetFormatPr defaultRowHeight="15" x14ac:dyDescent="0.25"/>
  <cols>
    <col min="1" max="3" width="14.7109375" customWidth="1"/>
    <col min="5" max="5" width="11.140625" customWidth="1"/>
    <col min="10" max="10" width="15" customWidth="1"/>
    <col min="11" max="11" width="17" customWidth="1"/>
  </cols>
  <sheetData>
    <row r="1" spans="1:11" x14ac:dyDescent="0.25">
      <c r="A1" t="s">
        <v>63</v>
      </c>
      <c r="B1" t="s">
        <v>1</v>
      </c>
      <c r="C1" t="s">
        <v>2</v>
      </c>
      <c r="D1" t="s">
        <v>64</v>
      </c>
      <c r="E1" t="s">
        <v>65</v>
      </c>
      <c r="J1" s="1" t="s">
        <v>66</v>
      </c>
      <c r="K1" s="1" t="s">
        <v>67</v>
      </c>
    </row>
    <row r="2" spans="1:11" x14ac:dyDescent="0.25">
      <c r="A2">
        <v>18373</v>
      </c>
      <c r="B2" t="s">
        <v>68</v>
      </c>
      <c r="C2" t="s">
        <v>69</v>
      </c>
      <c r="D2">
        <v>53</v>
      </c>
      <c r="E2" t="str">
        <f>VLOOKUP(D2,GradeEquivalents[#All],2,TRUE)</f>
        <v>E</v>
      </c>
      <c r="J2" s="1">
        <v>0</v>
      </c>
      <c r="K2" s="1" t="s">
        <v>70</v>
      </c>
    </row>
    <row r="3" spans="1:11" x14ac:dyDescent="0.25">
      <c r="A3">
        <v>23733</v>
      </c>
      <c r="B3" t="s">
        <v>71</v>
      </c>
      <c r="C3" t="s">
        <v>72</v>
      </c>
      <c r="D3">
        <v>78</v>
      </c>
      <c r="E3" t="str">
        <f>VLOOKUP(D3,GradeEquivalents[#All],2,TRUE)</f>
        <v>C</v>
      </c>
      <c r="J3" s="1">
        <v>35</v>
      </c>
      <c r="K3" s="1" t="s">
        <v>73</v>
      </c>
    </row>
    <row r="4" spans="1:11" x14ac:dyDescent="0.25">
      <c r="A4">
        <v>27438</v>
      </c>
      <c r="B4" t="s">
        <v>74</v>
      </c>
      <c r="C4" t="s">
        <v>75</v>
      </c>
      <c r="D4">
        <v>90</v>
      </c>
      <c r="E4" t="str">
        <f>VLOOKUP(D4,GradeEquivalents[#All],2,TRUE)</f>
        <v>A</v>
      </c>
      <c r="J4" s="1">
        <v>60</v>
      </c>
      <c r="K4" s="1" t="s">
        <v>76</v>
      </c>
    </row>
    <row r="5" spans="1:11" x14ac:dyDescent="0.25">
      <c r="A5">
        <v>29483</v>
      </c>
      <c r="B5" t="s">
        <v>77</v>
      </c>
      <c r="C5" t="s">
        <v>56</v>
      </c>
      <c r="D5">
        <v>87</v>
      </c>
      <c r="E5" t="str">
        <f>VLOOKUP(D5,GradeEquivalents[#All],2,TRUE)</f>
        <v>B</v>
      </c>
      <c r="J5" s="1">
        <v>70</v>
      </c>
      <c r="K5" s="1" t="s">
        <v>78</v>
      </c>
    </row>
    <row r="6" spans="1:11" x14ac:dyDescent="0.25">
      <c r="A6">
        <v>38272</v>
      </c>
      <c r="B6" t="s">
        <v>40</v>
      </c>
      <c r="C6" t="s">
        <v>79</v>
      </c>
      <c r="D6">
        <v>65</v>
      </c>
      <c r="E6" t="str">
        <f>VLOOKUP(D6,GradeEquivalents[#All],2,TRUE)</f>
        <v>D</v>
      </c>
      <c r="J6" s="1">
        <v>80</v>
      </c>
      <c r="K6" s="1" t="s">
        <v>80</v>
      </c>
    </row>
    <row r="7" spans="1:11" x14ac:dyDescent="0.25">
      <c r="A7">
        <v>38349</v>
      </c>
      <c r="B7" t="s">
        <v>81</v>
      </c>
      <c r="C7" t="s">
        <v>82</v>
      </c>
      <c r="D7">
        <v>95</v>
      </c>
      <c r="E7" t="str">
        <f>VLOOKUP(D7,GradeEquivalents[#All],2,TRUE)</f>
        <v>A+</v>
      </c>
      <c r="J7" s="1">
        <v>90</v>
      </c>
      <c r="K7" s="1" t="s">
        <v>83</v>
      </c>
    </row>
    <row r="8" spans="1:11" x14ac:dyDescent="0.25">
      <c r="A8">
        <v>38392</v>
      </c>
      <c r="B8" t="s">
        <v>79</v>
      </c>
      <c r="C8" t="s">
        <v>53</v>
      </c>
      <c r="D8">
        <v>58</v>
      </c>
      <c r="E8" t="str">
        <f>VLOOKUP(D8,GradeEquivalents[#All],2,TRUE)</f>
        <v>E</v>
      </c>
      <c r="J8" s="1">
        <v>95</v>
      </c>
      <c r="K8" s="1" t="s">
        <v>84</v>
      </c>
    </row>
    <row r="9" spans="1:11" x14ac:dyDescent="0.25">
      <c r="A9">
        <v>38474</v>
      </c>
      <c r="B9" t="s">
        <v>85</v>
      </c>
      <c r="C9" t="s">
        <v>86</v>
      </c>
      <c r="D9">
        <v>56</v>
      </c>
      <c r="E9" t="str">
        <f>VLOOKUP(D9,GradeEquivalents[#All],2,TRUE)</f>
        <v>E</v>
      </c>
    </row>
    <row r="10" spans="1:11" x14ac:dyDescent="0.25">
      <c r="A10">
        <v>73623</v>
      </c>
      <c r="B10" t="s">
        <v>87</v>
      </c>
      <c r="C10" t="s">
        <v>88</v>
      </c>
      <c r="D10">
        <v>83</v>
      </c>
      <c r="E10" t="str">
        <f>VLOOKUP(D10,GradeEquivalents[#All],2,TRUE)</f>
        <v>B</v>
      </c>
    </row>
    <row r="11" spans="1:11" x14ac:dyDescent="0.25">
      <c r="A11">
        <v>82729</v>
      </c>
      <c r="B11" t="s">
        <v>37</v>
      </c>
      <c r="C11" t="s">
        <v>89</v>
      </c>
      <c r="D11">
        <v>38</v>
      </c>
      <c r="E11" t="str">
        <f>VLOOKUP(D11,GradeEquivalents[#All],2,TRUE)</f>
        <v>E</v>
      </c>
    </row>
    <row r="12" spans="1:11" x14ac:dyDescent="0.25">
      <c r="A12">
        <v>83749</v>
      </c>
      <c r="B12" t="s">
        <v>37</v>
      </c>
      <c r="C12" t="s">
        <v>90</v>
      </c>
      <c r="D12">
        <v>82</v>
      </c>
      <c r="E12" t="str">
        <f>VLOOKUP(D12,GradeEquivalents[#All],2,TRUE)</f>
        <v>B</v>
      </c>
    </row>
    <row r="13" spans="1:11" x14ac:dyDescent="0.25">
      <c r="A13">
        <v>83784</v>
      </c>
      <c r="B13" t="s">
        <v>91</v>
      </c>
      <c r="C13" t="s">
        <v>92</v>
      </c>
      <c r="D13">
        <v>74</v>
      </c>
      <c r="E13" t="str">
        <f>VLOOKUP(D13,GradeEquivalents[#All],2,TRUE)</f>
        <v>C</v>
      </c>
    </row>
    <row r="14" spans="1:11" x14ac:dyDescent="0.25">
      <c r="A14">
        <v>83839</v>
      </c>
      <c r="B14" t="s">
        <v>93</v>
      </c>
      <c r="C14" t="s">
        <v>94</v>
      </c>
      <c r="D14">
        <v>63</v>
      </c>
      <c r="E14" t="str">
        <f>VLOOKUP(D14,GradeEquivalents[#All],2,TRUE)</f>
        <v>D</v>
      </c>
    </row>
    <row r="15" spans="1:11" x14ac:dyDescent="0.25">
      <c r="A15">
        <v>83920</v>
      </c>
      <c r="B15" t="s">
        <v>46</v>
      </c>
      <c r="C15" t="s">
        <v>61</v>
      </c>
      <c r="D15">
        <v>45</v>
      </c>
      <c r="E15" t="str">
        <f>VLOOKUP(D15,GradeEquivalents[#All],2,TRUE)</f>
        <v>E</v>
      </c>
    </row>
    <row r="16" spans="1:11" x14ac:dyDescent="0.25">
      <c r="A16">
        <v>87393</v>
      </c>
      <c r="B16" t="s">
        <v>95</v>
      </c>
      <c r="C16" t="s">
        <v>96</v>
      </c>
      <c r="D16">
        <v>73</v>
      </c>
      <c r="E16" t="str">
        <f>VLOOKUP(D16,GradeEquivalents[#All],2,TRUE)</f>
        <v>C</v>
      </c>
    </row>
    <row r="17" spans="1:5" x14ac:dyDescent="0.25">
      <c r="A17">
        <v>93822</v>
      </c>
      <c r="B17" t="s">
        <v>97</v>
      </c>
      <c r="C17" t="s">
        <v>59</v>
      </c>
      <c r="D17">
        <v>67</v>
      </c>
      <c r="E17" t="str">
        <f>VLOOKUP(D17,GradeEquivalents[#All],2,TRUE)</f>
        <v>D</v>
      </c>
    </row>
    <row r="18" spans="1:5" x14ac:dyDescent="0.25">
      <c r="A18">
        <v>93828</v>
      </c>
      <c r="B18" t="s">
        <v>98</v>
      </c>
      <c r="C18" t="s">
        <v>99</v>
      </c>
      <c r="D18">
        <v>85</v>
      </c>
      <c r="E18" t="str">
        <f>VLOOKUP(D18,GradeEquivalents[#All],2,TRUE)</f>
        <v>B</v>
      </c>
    </row>
    <row r="19" spans="1:5" x14ac:dyDescent="0.25">
      <c r="A19">
        <v>93837</v>
      </c>
      <c r="B19" t="s">
        <v>100</v>
      </c>
      <c r="C19" t="s">
        <v>101</v>
      </c>
      <c r="D19">
        <v>92</v>
      </c>
      <c r="E19" t="str">
        <f>VLOOKUP(D19,GradeEquivalents[#All],2,TRUE)</f>
        <v>A</v>
      </c>
    </row>
    <row r="20" spans="1:5" x14ac:dyDescent="0.25">
      <c r="A20">
        <v>93853</v>
      </c>
      <c r="B20" t="s">
        <v>102</v>
      </c>
      <c r="C20" t="s">
        <v>103</v>
      </c>
      <c r="D20">
        <v>62</v>
      </c>
      <c r="E20" t="str">
        <f>VLOOKUP(D20,GradeEquivalents[#All],2,TRUE)</f>
        <v>D</v>
      </c>
    </row>
    <row r="21" spans="1:5" x14ac:dyDescent="0.25">
      <c r="A21">
        <v>93928</v>
      </c>
      <c r="B21" t="s">
        <v>104</v>
      </c>
      <c r="C21" t="s">
        <v>105</v>
      </c>
      <c r="D21">
        <v>89</v>
      </c>
      <c r="E21" t="str">
        <f>VLOOKUP(D21,GradeEquivalents[#All],2,TRUE)</f>
        <v>B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4C26-EE31-4068-9BB8-3B4EA52ECDAA}">
  <dimension ref="A1:O21"/>
  <sheetViews>
    <sheetView workbookViewId="0">
      <selection activeCell="E3" sqref="E3"/>
    </sheetView>
  </sheetViews>
  <sheetFormatPr defaultRowHeight="15" x14ac:dyDescent="0.25"/>
  <cols>
    <col min="1" max="3" width="14.7109375" customWidth="1"/>
    <col min="5" max="5" width="11.140625" customWidth="1"/>
    <col min="8" max="8" width="14.5703125" customWidth="1"/>
    <col min="9" max="9" width="15" customWidth="1"/>
    <col min="10" max="10" width="17" customWidth="1"/>
  </cols>
  <sheetData>
    <row r="1" spans="1:15" x14ac:dyDescent="0.25">
      <c r="A1" t="s">
        <v>63</v>
      </c>
      <c r="B1" t="s">
        <v>1</v>
      </c>
      <c r="C1" t="s">
        <v>2</v>
      </c>
      <c r="D1" t="s">
        <v>64</v>
      </c>
      <c r="E1" t="s">
        <v>67</v>
      </c>
      <c r="I1" s="1"/>
      <c r="J1" s="1"/>
    </row>
    <row r="2" spans="1:15" x14ac:dyDescent="0.25">
      <c r="A2">
        <v>18373</v>
      </c>
      <c r="B2" t="s">
        <v>68</v>
      </c>
      <c r="C2" t="s">
        <v>69</v>
      </c>
      <c r="D2">
        <v>53</v>
      </c>
      <c r="E2" t="str">
        <f t="shared" ref="E2:E21" si="0">HLOOKUP(D2,$H$3:$O$4,2,TRUE)</f>
        <v>E</v>
      </c>
      <c r="I2" s="1"/>
      <c r="J2" s="1"/>
    </row>
    <row r="3" spans="1:15" x14ac:dyDescent="0.25">
      <c r="A3">
        <v>23733</v>
      </c>
      <c r="B3" t="s">
        <v>71</v>
      </c>
      <c r="C3" t="s">
        <v>72</v>
      </c>
      <c r="D3">
        <v>78</v>
      </c>
      <c r="E3" t="str">
        <f t="shared" si="0"/>
        <v>C</v>
      </c>
      <c r="H3" s="2" t="s">
        <v>66</v>
      </c>
      <c r="I3" s="3">
        <v>0</v>
      </c>
      <c r="J3" s="4">
        <v>35</v>
      </c>
      <c r="K3" s="3">
        <v>60</v>
      </c>
      <c r="L3" s="4">
        <v>70</v>
      </c>
      <c r="M3" s="3">
        <v>80</v>
      </c>
      <c r="N3" s="4">
        <v>90</v>
      </c>
      <c r="O3" s="3">
        <v>95</v>
      </c>
    </row>
    <row r="4" spans="1:15" x14ac:dyDescent="0.25">
      <c r="A4">
        <v>27438</v>
      </c>
      <c r="B4" t="s">
        <v>74</v>
      </c>
      <c r="C4" t="s">
        <v>75</v>
      </c>
      <c r="D4">
        <v>90</v>
      </c>
      <c r="E4" t="str">
        <f t="shared" si="0"/>
        <v>A</v>
      </c>
      <c r="H4" s="5" t="s">
        <v>67</v>
      </c>
      <c r="I4" s="6" t="s">
        <v>70</v>
      </c>
      <c r="J4" s="7" t="s">
        <v>73</v>
      </c>
      <c r="K4" s="6" t="s">
        <v>76</v>
      </c>
      <c r="L4" s="7" t="s">
        <v>78</v>
      </c>
      <c r="M4" s="6" t="s">
        <v>80</v>
      </c>
      <c r="N4" s="7" t="s">
        <v>83</v>
      </c>
      <c r="O4" s="6" t="s">
        <v>84</v>
      </c>
    </row>
    <row r="5" spans="1:15" x14ac:dyDescent="0.25">
      <c r="A5">
        <v>29483</v>
      </c>
      <c r="B5" t="s">
        <v>77</v>
      </c>
      <c r="C5" t="s">
        <v>56</v>
      </c>
      <c r="D5">
        <v>87</v>
      </c>
      <c r="E5" t="str">
        <f t="shared" si="0"/>
        <v>B</v>
      </c>
      <c r="I5" s="1"/>
      <c r="J5" s="1"/>
    </row>
    <row r="6" spans="1:15" x14ac:dyDescent="0.25">
      <c r="A6">
        <v>38272</v>
      </c>
      <c r="B6" t="s">
        <v>40</v>
      </c>
      <c r="C6" t="s">
        <v>79</v>
      </c>
      <c r="D6">
        <v>65</v>
      </c>
      <c r="E6" t="str">
        <f t="shared" si="0"/>
        <v>D</v>
      </c>
      <c r="I6" s="1"/>
      <c r="J6" s="1"/>
    </row>
    <row r="7" spans="1:15" x14ac:dyDescent="0.25">
      <c r="A7">
        <v>38349</v>
      </c>
      <c r="B7" t="s">
        <v>81</v>
      </c>
      <c r="C7" t="s">
        <v>82</v>
      </c>
      <c r="D7">
        <v>95</v>
      </c>
      <c r="E7" t="str">
        <f t="shared" si="0"/>
        <v>A+</v>
      </c>
      <c r="I7" s="1"/>
      <c r="J7" s="1"/>
    </row>
    <row r="8" spans="1:15" x14ac:dyDescent="0.25">
      <c r="A8">
        <v>38392</v>
      </c>
      <c r="B8" t="s">
        <v>79</v>
      </c>
      <c r="C8" t="s">
        <v>53</v>
      </c>
      <c r="D8">
        <v>58</v>
      </c>
      <c r="E8" t="str">
        <f t="shared" si="0"/>
        <v>E</v>
      </c>
      <c r="I8" s="1"/>
      <c r="J8" s="1"/>
    </row>
    <row r="9" spans="1:15" x14ac:dyDescent="0.25">
      <c r="A9">
        <v>38474</v>
      </c>
      <c r="B9" t="s">
        <v>85</v>
      </c>
      <c r="C9" t="s">
        <v>86</v>
      </c>
      <c r="D9">
        <v>56</v>
      </c>
      <c r="E9" t="str">
        <f t="shared" si="0"/>
        <v>E</v>
      </c>
    </row>
    <row r="10" spans="1:15" x14ac:dyDescent="0.25">
      <c r="A10">
        <v>73623</v>
      </c>
      <c r="B10" t="s">
        <v>87</v>
      </c>
      <c r="C10" t="s">
        <v>88</v>
      </c>
      <c r="D10">
        <v>83</v>
      </c>
      <c r="E10" t="str">
        <f t="shared" si="0"/>
        <v>B</v>
      </c>
    </row>
    <row r="11" spans="1:15" x14ac:dyDescent="0.25">
      <c r="A11">
        <v>82729</v>
      </c>
      <c r="B11" t="s">
        <v>37</v>
      </c>
      <c r="C11" t="s">
        <v>89</v>
      </c>
      <c r="D11">
        <v>38</v>
      </c>
      <c r="E11" t="str">
        <f t="shared" si="0"/>
        <v>E</v>
      </c>
    </row>
    <row r="12" spans="1:15" x14ac:dyDescent="0.25">
      <c r="A12">
        <v>83749</v>
      </c>
      <c r="B12" t="s">
        <v>37</v>
      </c>
      <c r="C12" t="s">
        <v>90</v>
      </c>
      <c r="D12">
        <v>82</v>
      </c>
      <c r="E12" t="str">
        <f t="shared" si="0"/>
        <v>B</v>
      </c>
    </row>
    <row r="13" spans="1:15" x14ac:dyDescent="0.25">
      <c r="A13">
        <v>83784</v>
      </c>
      <c r="B13" t="s">
        <v>91</v>
      </c>
      <c r="C13" t="s">
        <v>92</v>
      </c>
      <c r="D13">
        <v>74</v>
      </c>
      <c r="E13" t="str">
        <f t="shared" si="0"/>
        <v>C</v>
      </c>
    </row>
    <row r="14" spans="1:15" x14ac:dyDescent="0.25">
      <c r="A14">
        <v>83839</v>
      </c>
      <c r="B14" t="s">
        <v>93</v>
      </c>
      <c r="C14" t="s">
        <v>94</v>
      </c>
      <c r="D14">
        <v>63</v>
      </c>
      <c r="E14" t="str">
        <f t="shared" si="0"/>
        <v>D</v>
      </c>
    </row>
    <row r="15" spans="1:15" x14ac:dyDescent="0.25">
      <c r="A15">
        <v>83920</v>
      </c>
      <c r="B15" t="s">
        <v>46</v>
      </c>
      <c r="C15" t="s">
        <v>61</v>
      </c>
      <c r="D15">
        <v>45</v>
      </c>
      <c r="E15" t="str">
        <f t="shared" si="0"/>
        <v>E</v>
      </c>
    </row>
    <row r="16" spans="1:15" x14ac:dyDescent="0.25">
      <c r="A16">
        <v>87393</v>
      </c>
      <c r="B16" t="s">
        <v>95</v>
      </c>
      <c r="C16" t="s">
        <v>96</v>
      </c>
      <c r="D16">
        <v>73</v>
      </c>
      <c r="E16" t="str">
        <f t="shared" si="0"/>
        <v>C</v>
      </c>
    </row>
    <row r="17" spans="1:5" x14ac:dyDescent="0.25">
      <c r="A17">
        <v>93822</v>
      </c>
      <c r="B17" t="s">
        <v>97</v>
      </c>
      <c r="C17" t="s">
        <v>59</v>
      </c>
      <c r="D17">
        <v>67</v>
      </c>
      <c r="E17" t="str">
        <f t="shared" si="0"/>
        <v>D</v>
      </c>
    </row>
    <row r="18" spans="1:5" x14ac:dyDescent="0.25">
      <c r="A18">
        <v>93828</v>
      </c>
      <c r="B18" t="s">
        <v>98</v>
      </c>
      <c r="C18" t="s">
        <v>99</v>
      </c>
      <c r="D18">
        <v>85</v>
      </c>
      <c r="E18" t="str">
        <f t="shared" si="0"/>
        <v>B</v>
      </c>
    </row>
    <row r="19" spans="1:5" x14ac:dyDescent="0.25">
      <c r="A19">
        <v>93837</v>
      </c>
      <c r="B19" t="s">
        <v>100</v>
      </c>
      <c r="C19" t="s">
        <v>101</v>
      </c>
      <c r="D19">
        <v>92</v>
      </c>
      <c r="E19" t="str">
        <f t="shared" si="0"/>
        <v>A</v>
      </c>
    </row>
    <row r="20" spans="1:5" x14ac:dyDescent="0.25">
      <c r="A20">
        <v>93853</v>
      </c>
      <c r="B20" t="s">
        <v>102</v>
      </c>
      <c r="C20" t="s">
        <v>103</v>
      </c>
      <c r="D20">
        <v>62</v>
      </c>
      <c r="E20" t="str">
        <f t="shared" si="0"/>
        <v>D</v>
      </c>
    </row>
    <row r="21" spans="1:5" x14ac:dyDescent="0.25">
      <c r="A21">
        <v>93928</v>
      </c>
      <c r="B21" t="s">
        <v>104</v>
      </c>
      <c r="C21" t="s">
        <v>105</v>
      </c>
      <c r="D21">
        <v>89</v>
      </c>
      <c r="E21" t="str">
        <f t="shared" si="0"/>
        <v>B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79CB-B479-43E6-A11B-0DE5521570A1}">
  <dimension ref="A1:K21"/>
  <sheetViews>
    <sheetView workbookViewId="0">
      <selection activeCell="L3" sqref="L3"/>
    </sheetView>
  </sheetViews>
  <sheetFormatPr defaultRowHeight="15" x14ac:dyDescent="0.25"/>
  <cols>
    <col min="1" max="7" width="9.7109375" customWidth="1"/>
    <col min="10" max="10" width="12.5703125" customWidth="1"/>
    <col min="11" max="11" width="17" customWidth="1"/>
  </cols>
  <sheetData>
    <row r="1" spans="1:11" x14ac:dyDescent="0.25">
      <c r="A1" t="s">
        <v>63</v>
      </c>
      <c r="B1" t="s">
        <v>1</v>
      </c>
      <c r="C1" t="s">
        <v>2</v>
      </c>
      <c r="D1" t="s">
        <v>106</v>
      </c>
      <c r="E1" t="s">
        <v>107</v>
      </c>
      <c r="F1" t="s">
        <v>108</v>
      </c>
      <c r="G1" t="s">
        <v>109</v>
      </c>
      <c r="J1" t="s">
        <v>110</v>
      </c>
      <c r="K1" t="s">
        <v>111</v>
      </c>
    </row>
    <row r="2" spans="1:11" x14ac:dyDescent="0.25">
      <c r="A2">
        <v>83839</v>
      </c>
      <c r="B2" t="s">
        <v>93</v>
      </c>
      <c r="C2" t="s">
        <v>94</v>
      </c>
      <c r="D2">
        <v>63</v>
      </c>
      <c r="E2">
        <v>69</v>
      </c>
      <c r="F2">
        <v>50</v>
      </c>
      <c r="G2">
        <v>100</v>
      </c>
      <c r="J2" t="s">
        <v>1</v>
      </c>
      <c r="K2" t="s">
        <v>37</v>
      </c>
    </row>
    <row r="3" spans="1:11" x14ac:dyDescent="0.25">
      <c r="A3">
        <v>93928</v>
      </c>
      <c r="B3" t="s">
        <v>104</v>
      </c>
      <c r="C3" t="s">
        <v>105</v>
      </c>
      <c r="D3">
        <v>89</v>
      </c>
      <c r="E3">
        <v>87</v>
      </c>
      <c r="F3">
        <v>91</v>
      </c>
      <c r="G3">
        <v>88</v>
      </c>
      <c r="J3" t="s">
        <v>106</v>
      </c>
      <c r="K3">
        <f>INDEX(Table2[#All],MATCH($K$2,B:B,0),MATCH(Table4[[#This Row],[Fields]],Table2[#Headers],0))</f>
        <v>38</v>
      </c>
    </row>
    <row r="4" spans="1:11" x14ac:dyDescent="0.25">
      <c r="A4">
        <v>83920</v>
      </c>
      <c r="B4" t="s">
        <v>46</v>
      </c>
      <c r="C4" t="s">
        <v>61</v>
      </c>
      <c r="D4">
        <v>45</v>
      </c>
      <c r="E4">
        <v>56</v>
      </c>
      <c r="F4">
        <v>92</v>
      </c>
      <c r="G4">
        <v>84</v>
      </c>
      <c r="J4" t="s">
        <v>107</v>
      </c>
      <c r="K4">
        <f>INDEX(Table2[#All],MATCH($K$2,B:B,0),MATCH(Table4[[#This Row],[Fields]],Table2[#Headers],0))</f>
        <v>60</v>
      </c>
    </row>
    <row r="5" spans="1:11" x14ac:dyDescent="0.25">
      <c r="A5">
        <v>38474</v>
      </c>
      <c r="B5" t="s">
        <v>85</v>
      </c>
      <c r="C5" t="s">
        <v>86</v>
      </c>
      <c r="D5">
        <v>56</v>
      </c>
      <c r="E5">
        <v>64</v>
      </c>
      <c r="F5">
        <v>78</v>
      </c>
      <c r="G5">
        <v>78</v>
      </c>
      <c r="J5" t="s">
        <v>108</v>
      </c>
      <c r="K5">
        <f>INDEX(Table2[#All],MATCH($K$2,B:B,0),MATCH(Table4[[#This Row],[Fields]],Table2[#Headers],0))</f>
        <v>70</v>
      </c>
    </row>
    <row r="6" spans="1:11" x14ac:dyDescent="0.25">
      <c r="A6">
        <v>23733</v>
      </c>
      <c r="B6" t="s">
        <v>71</v>
      </c>
      <c r="C6" t="s">
        <v>72</v>
      </c>
      <c r="D6">
        <v>78</v>
      </c>
      <c r="E6">
        <v>63</v>
      </c>
      <c r="F6">
        <v>84</v>
      </c>
      <c r="G6">
        <v>90</v>
      </c>
      <c r="J6" t="s">
        <v>109</v>
      </c>
      <c r="K6">
        <f>INDEX(Table2[#All],MATCH($K$2,B:B,0),MATCH(Table4[[#This Row],[Fields]],Table2[#Headers],0))</f>
        <v>88</v>
      </c>
    </row>
    <row r="7" spans="1:11" x14ac:dyDescent="0.25">
      <c r="A7">
        <v>87393</v>
      </c>
      <c r="B7" t="s">
        <v>95</v>
      </c>
      <c r="C7" t="s">
        <v>96</v>
      </c>
      <c r="D7">
        <v>73</v>
      </c>
      <c r="E7">
        <v>74</v>
      </c>
      <c r="F7">
        <v>56</v>
      </c>
      <c r="G7">
        <v>90</v>
      </c>
    </row>
    <row r="8" spans="1:11" x14ac:dyDescent="0.25">
      <c r="A8">
        <v>93828</v>
      </c>
      <c r="B8" t="s">
        <v>98</v>
      </c>
      <c r="C8" t="s">
        <v>99</v>
      </c>
      <c r="D8">
        <v>85</v>
      </c>
      <c r="E8">
        <v>72</v>
      </c>
      <c r="F8">
        <v>82</v>
      </c>
      <c r="G8">
        <v>80</v>
      </c>
    </row>
    <row r="9" spans="1:11" x14ac:dyDescent="0.25">
      <c r="A9">
        <v>93837</v>
      </c>
      <c r="B9" t="s">
        <v>100</v>
      </c>
      <c r="C9" t="s">
        <v>101</v>
      </c>
      <c r="D9">
        <v>92</v>
      </c>
      <c r="E9">
        <v>88</v>
      </c>
      <c r="F9">
        <v>70</v>
      </c>
      <c r="G9">
        <v>84</v>
      </c>
    </row>
    <row r="10" spans="1:11" x14ac:dyDescent="0.25">
      <c r="A10">
        <v>82729</v>
      </c>
      <c r="B10" t="s">
        <v>37</v>
      </c>
      <c r="C10" t="s">
        <v>89</v>
      </c>
      <c r="D10">
        <v>38</v>
      </c>
      <c r="E10">
        <v>60</v>
      </c>
      <c r="F10">
        <v>70</v>
      </c>
      <c r="G10">
        <v>88</v>
      </c>
    </row>
    <row r="11" spans="1:11" x14ac:dyDescent="0.25">
      <c r="A11">
        <v>93822</v>
      </c>
      <c r="B11" t="s">
        <v>97</v>
      </c>
      <c r="C11" t="s">
        <v>59</v>
      </c>
      <c r="D11">
        <v>67</v>
      </c>
      <c r="E11">
        <v>89</v>
      </c>
      <c r="F11">
        <v>75</v>
      </c>
      <c r="G11">
        <v>75</v>
      </c>
    </row>
    <row r="12" spans="1:11" x14ac:dyDescent="0.25">
      <c r="A12">
        <v>83749</v>
      </c>
      <c r="B12" t="s">
        <v>37</v>
      </c>
      <c r="C12" t="s">
        <v>90</v>
      </c>
      <c r="D12">
        <v>82</v>
      </c>
      <c r="E12">
        <v>55</v>
      </c>
      <c r="F12">
        <v>88</v>
      </c>
      <c r="G12">
        <v>90</v>
      </c>
    </row>
    <row r="13" spans="1:11" x14ac:dyDescent="0.25">
      <c r="A13">
        <v>38349</v>
      </c>
      <c r="B13" t="s">
        <v>81</v>
      </c>
      <c r="C13" t="s">
        <v>82</v>
      </c>
      <c r="D13">
        <v>95</v>
      </c>
      <c r="E13">
        <v>76</v>
      </c>
      <c r="F13">
        <v>56</v>
      </c>
      <c r="G13">
        <v>83</v>
      </c>
    </row>
    <row r="14" spans="1:11" x14ac:dyDescent="0.25">
      <c r="A14">
        <v>18373</v>
      </c>
      <c r="B14" t="s">
        <v>68</v>
      </c>
      <c r="C14" t="s">
        <v>69</v>
      </c>
      <c r="D14">
        <v>53</v>
      </c>
      <c r="E14">
        <v>82</v>
      </c>
      <c r="F14">
        <v>75</v>
      </c>
      <c r="G14">
        <v>95</v>
      </c>
    </row>
    <row r="15" spans="1:11" x14ac:dyDescent="0.25">
      <c r="A15">
        <v>38272</v>
      </c>
      <c r="B15" t="s">
        <v>40</v>
      </c>
      <c r="C15" t="s">
        <v>79</v>
      </c>
      <c r="D15">
        <v>65</v>
      </c>
      <c r="E15">
        <v>62</v>
      </c>
      <c r="F15">
        <v>85</v>
      </c>
      <c r="G15">
        <v>92</v>
      </c>
    </row>
    <row r="16" spans="1:11" x14ac:dyDescent="0.25">
      <c r="A16">
        <v>29483</v>
      </c>
      <c r="B16" t="s">
        <v>77</v>
      </c>
      <c r="C16" t="s">
        <v>56</v>
      </c>
      <c r="D16">
        <v>87</v>
      </c>
      <c r="E16">
        <v>45</v>
      </c>
      <c r="F16">
        <v>91</v>
      </c>
      <c r="G16">
        <v>78</v>
      </c>
    </row>
    <row r="17" spans="1:7" x14ac:dyDescent="0.25">
      <c r="A17">
        <v>38392</v>
      </c>
      <c r="B17" t="s">
        <v>79</v>
      </c>
      <c r="C17" t="s">
        <v>53</v>
      </c>
      <c r="D17">
        <v>58</v>
      </c>
      <c r="E17">
        <v>57</v>
      </c>
      <c r="F17">
        <v>55</v>
      </c>
      <c r="G17">
        <v>89</v>
      </c>
    </row>
    <row r="18" spans="1:7" x14ac:dyDescent="0.25">
      <c r="A18">
        <v>83784</v>
      </c>
      <c r="B18" t="s">
        <v>91</v>
      </c>
      <c r="C18" t="s">
        <v>92</v>
      </c>
      <c r="D18">
        <v>74</v>
      </c>
      <c r="E18">
        <v>87</v>
      </c>
      <c r="F18">
        <v>82</v>
      </c>
      <c r="G18">
        <v>95</v>
      </c>
    </row>
    <row r="19" spans="1:7" x14ac:dyDescent="0.25">
      <c r="A19">
        <v>73623</v>
      </c>
      <c r="B19" t="s">
        <v>87</v>
      </c>
      <c r="C19" t="s">
        <v>88</v>
      </c>
      <c r="D19">
        <v>83</v>
      </c>
      <c r="E19">
        <v>91</v>
      </c>
      <c r="F19">
        <v>69</v>
      </c>
      <c r="G19">
        <v>75</v>
      </c>
    </row>
    <row r="20" spans="1:7" x14ac:dyDescent="0.25">
      <c r="A20">
        <v>27438</v>
      </c>
      <c r="B20" t="s">
        <v>74</v>
      </c>
      <c r="C20" t="s">
        <v>75</v>
      </c>
      <c r="D20">
        <v>90</v>
      </c>
      <c r="E20">
        <v>98</v>
      </c>
      <c r="F20">
        <v>66</v>
      </c>
      <c r="G20">
        <v>88</v>
      </c>
    </row>
    <row r="21" spans="1:7" x14ac:dyDescent="0.25">
      <c r="A21">
        <v>93853</v>
      </c>
      <c r="B21" t="s">
        <v>102</v>
      </c>
      <c r="C21" t="s">
        <v>103</v>
      </c>
      <c r="D21">
        <v>62</v>
      </c>
      <c r="E21">
        <v>68</v>
      </c>
      <c r="F21">
        <v>85</v>
      </c>
      <c r="G21">
        <v>92</v>
      </c>
    </row>
  </sheetData>
  <dataValidations count="1">
    <dataValidation type="list" allowBlank="1" showInputMessage="1" showErrorMessage="1" sqref="K2" xr:uid="{CAEDE71B-DEFB-4379-827F-81E91A3584A0}">
      <formula1>$B:$B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051C-D2E5-416C-87FC-81DEB554FD13}">
  <dimension ref="A1:Q21"/>
  <sheetViews>
    <sheetView workbookViewId="0">
      <selection activeCell="M3" sqref="M3"/>
    </sheetView>
  </sheetViews>
  <sheetFormatPr defaultRowHeight="15" x14ac:dyDescent="0.25"/>
  <cols>
    <col min="1" max="7" width="9.7109375" customWidth="1"/>
    <col min="8" max="8" width="13.7109375" customWidth="1"/>
    <col min="9" max="9" width="5.28515625" customWidth="1"/>
    <col min="10" max="10" width="19.7109375" customWidth="1"/>
    <col min="11" max="11" width="13.7109375" customWidth="1"/>
    <col min="12" max="12" width="14.28515625" customWidth="1"/>
    <col min="13" max="13" width="15.140625" customWidth="1"/>
    <col min="14" max="14" width="9" customWidth="1"/>
    <col min="15" max="15" width="7" customWidth="1"/>
    <col min="16" max="16" width="10.28515625" customWidth="1"/>
    <col min="17" max="17" width="9.28515625" customWidth="1"/>
  </cols>
  <sheetData>
    <row r="1" spans="1:17" ht="45" x14ac:dyDescent="0.25">
      <c r="A1" t="s">
        <v>63</v>
      </c>
      <c r="B1" t="s">
        <v>1</v>
      </c>
      <c r="C1" t="s">
        <v>2</v>
      </c>
      <c r="D1" t="s">
        <v>106</v>
      </c>
      <c r="E1" t="s">
        <v>107</v>
      </c>
      <c r="F1" t="s">
        <v>108</v>
      </c>
      <c r="G1" t="s">
        <v>109</v>
      </c>
      <c r="H1" t="s">
        <v>112</v>
      </c>
      <c r="J1" s="8" t="s">
        <v>113</v>
      </c>
      <c r="K1" s="8" t="s">
        <v>114</v>
      </c>
      <c r="L1" s="8" t="s">
        <v>115</v>
      </c>
      <c r="M1" s="8" t="s">
        <v>116</v>
      </c>
    </row>
    <row r="2" spans="1:17" x14ac:dyDescent="0.25">
      <c r="A2">
        <v>83839</v>
      </c>
      <c r="B2" t="s">
        <v>93</v>
      </c>
      <c r="C2" t="s">
        <v>94</v>
      </c>
      <c r="D2">
        <v>63</v>
      </c>
      <c r="E2">
        <v>69</v>
      </c>
      <c r="F2">
        <v>50</v>
      </c>
      <c r="G2">
        <v>100</v>
      </c>
      <c r="H2">
        <f>AVERAGE(Table212[[#This Row],[Math]:[P.E.]])</f>
        <v>70.5</v>
      </c>
      <c r="J2" s="1" t="str">
        <f t="shared" ref="J2:J21" si="0">IF(H2&gt;$P$3,$O$3,"")</f>
        <v/>
      </c>
      <c r="K2" s="1" t="str">
        <f t="shared" ref="K2:K21" si="1">IF(AND(H2&gt;$P$5,H2&lt;$Q$5),$O$5,"")</f>
        <v/>
      </c>
      <c r="L2" s="1" t="str">
        <f t="shared" ref="L2:L21" si="2">IF(AND(H2&gt;$P$7,H2&lt;$Q$7),$O$7,IF(AND(H2&gt;$Q$7,H2&lt;$P$5),"OK",""))</f>
        <v>OK</v>
      </c>
      <c r="M2" s="1" t="str">
        <f t="shared" ref="M2:M21" si="3">IF(OR(H2&lt;$Q$9,D2&lt;$Q$11),"follow up","")</f>
        <v/>
      </c>
    </row>
    <row r="3" spans="1:17" x14ac:dyDescent="0.25">
      <c r="A3">
        <v>93928</v>
      </c>
      <c r="B3" t="s">
        <v>104</v>
      </c>
      <c r="C3" t="s">
        <v>105</v>
      </c>
      <c r="D3">
        <v>89</v>
      </c>
      <c r="E3">
        <v>95</v>
      </c>
      <c r="F3">
        <v>91</v>
      </c>
      <c r="G3">
        <v>88</v>
      </c>
      <c r="H3">
        <f>AVERAGE(Table212[[#This Row],[Math]:[P.E.]])</f>
        <v>90.75</v>
      </c>
      <c r="J3" s="1" t="str">
        <f t="shared" si="0"/>
        <v>PHR</v>
      </c>
      <c r="K3" s="1" t="str">
        <f t="shared" si="1"/>
        <v/>
      </c>
      <c r="L3" s="1" t="str">
        <f t="shared" si="2"/>
        <v/>
      </c>
      <c r="M3" s="1" t="str">
        <f t="shared" si="3"/>
        <v/>
      </c>
      <c r="O3" s="9" t="s">
        <v>117</v>
      </c>
      <c r="P3" s="9">
        <v>85</v>
      </c>
      <c r="Q3" s="9"/>
    </row>
    <row r="4" spans="1:17" x14ac:dyDescent="0.25">
      <c r="A4">
        <v>83920</v>
      </c>
      <c r="B4" t="s">
        <v>46</v>
      </c>
      <c r="C4" t="s">
        <v>61</v>
      </c>
      <c r="D4">
        <v>52</v>
      </c>
      <c r="E4">
        <v>75</v>
      </c>
      <c r="F4">
        <v>83</v>
      </c>
      <c r="G4">
        <v>85</v>
      </c>
      <c r="H4">
        <f>AVERAGE(Table212[[#This Row],[Math]:[P.E.]])</f>
        <v>73.75</v>
      </c>
      <c r="J4" s="1" t="str">
        <f t="shared" si="0"/>
        <v/>
      </c>
      <c r="K4" s="1" t="str">
        <f t="shared" si="1"/>
        <v/>
      </c>
      <c r="L4" s="1" t="str">
        <f t="shared" si="2"/>
        <v>OK</v>
      </c>
      <c r="M4" s="1" t="str">
        <f t="shared" si="3"/>
        <v>follow up</v>
      </c>
      <c r="O4" s="9"/>
      <c r="P4" s="9"/>
      <c r="Q4" s="9"/>
    </row>
    <row r="5" spans="1:17" x14ac:dyDescent="0.25">
      <c r="A5">
        <v>38474</v>
      </c>
      <c r="B5" t="s">
        <v>85</v>
      </c>
      <c r="C5" t="s">
        <v>86</v>
      </c>
      <c r="D5">
        <v>56</v>
      </c>
      <c r="E5">
        <v>64</v>
      </c>
      <c r="F5">
        <v>70</v>
      </c>
      <c r="G5">
        <v>68</v>
      </c>
      <c r="H5">
        <f>AVERAGE(Table212[[#This Row],[Math]:[P.E.]])</f>
        <v>64.5</v>
      </c>
      <c r="J5" s="1" t="str">
        <f t="shared" si="0"/>
        <v/>
      </c>
      <c r="K5" s="1" t="str">
        <f t="shared" si="1"/>
        <v/>
      </c>
      <c r="L5" s="1" t="str">
        <f t="shared" si="2"/>
        <v>R</v>
      </c>
      <c r="M5" s="1" t="str">
        <f t="shared" si="3"/>
        <v>follow up</v>
      </c>
      <c r="O5" s="9" t="s">
        <v>118</v>
      </c>
      <c r="P5" s="9">
        <v>80</v>
      </c>
      <c r="Q5" s="9">
        <v>84.5</v>
      </c>
    </row>
    <row r="6" spans="1:17" x14ac:dyDescent="0.25">
      <c r="A6">
        <v>23733</v>
      </c>
      <c r="B6" t="s">
        <v>71</v>
      </c>
      <c r="C6" t="s">
        <v>72</v>
      </c>
      <c r="D6">
        <v>78</v>
      </c>
      <c r="E6">
        <v>72</v>
      </c>
      <c r="F6">
        <v>84</v>
      </c>
      <c r="G6">
        <v>90</v>
      </c>
      <c r="H6">
        <f>AVERAGE(Table212[[#This Row],[Math]:[P.E.]])</f>
        <v>81</v>
      </c>
      <c r="J6" s="1" t="str">
        <f t="shared" si="0"/>
        <v/>
      </c>
      <c r="K6" s="1" t="str">
        <f t="shared" si="1"/>
        <v>HR</v>
      </c>
      <c r="L6" s="1" t="str">
        <f t="shared" si="2"/>
        <v/>
      </c>
      <c r="M6" s="1" t="str">
        <f t="shared" si="3"/>
        <v/>
      </c>
      <c r="O6" s="9"/>
      <c r="P6" s="9"/>
      <c r="Q6" s="9"/>
    </row>
    <row r="7" spans="1:17" x14ac:dyDescent="0.25">
      <c r="A7">
        <v>87393</v>
      </c>
      <c r="B7" t="s">
        <v>95</v>
      </c>
      <c r="C7" t="s">
        <v>96</v>
      </c>
      <c r="D7">
        <v>73</v>
      </c>
      <c r="E7">
        <v>74</v>
      </c>
      <c r="F7">
        <v>56</v>
      </c>
      <c r="G7">
        <v>90</v>
      </c>
      <c r="H7">
        <f>AVERAGE(Table212[[#This Row],[Math]:[P.E.]])</f>
        <v>73.25</v>
      </c>
      <c r="J7" s="1" t="str">
        <f t="shared" si="0"/>
        <v/>
      </c>
      <c r="K7" s="1" t="str">
        <f t="shared" si="1"/>
        <v/>
      </c>
      <c r="L7" s="1" t="str">
        <f t="shared" si="2"/>
        <v>OK</v>
      </c>
      <c r="M7" s="1" t="str">
        <f t="shared" si="3"/>
        <v/>
      </c>
      <c r="O7" s="9" t="s">
        <v>119</v>
      </c>
      <c r="P7" s="9">
        <v>60</v>
      </c>
      <c r="Q7" s="9">
        <v>65</v>
      </c>
    </row>
    <row r="8" spans="1:17" x14ac:dyDescent="0.25">
      <c r="A8">
        <v>93828</v>
      </c>
      <c r="B8" t="s">
        <v>98</v>
      </c>
      <c r="C8" t="s">
        <v>99</v>
      </c>
      <c r="D8">
        <v>85</v>
      </c>
      <c r="E8">
        <v>87</v>
      </c>
      <c r="F8">
        <v>82</v>
      </c>
      <c r="G8">
        <v>80</v>
      </c>
      <c r="H8">
        <f>AVERAGE(Table212[[#This Row],[Math]:[P.E.]])</f>
        <v>83.5</v>
      </c>
      <c r="J8" s="1" t="str">
        <f t="shared" si="0"/>
        <v/>
      </c>
      <c r="K8" s="1" t="str">
        <f t="shared" si="1"/>
        <v>HR</v>
      </c>
      <c r="L8" s="1" t="str">
        <f t="shared" si="2"/>
        <v/>
      </c>
      <c r="M8" s="1" t="str">
        <f t="shared" si="3"/>
        <v/>
      </c>
      <c r="O8" s="9"/>
      <c r="P8" s="9"/>
      <c r="Q8" s="9"/>
    </row>
    <row r="9" spans="1:17" x14ac:dyDescent="0.25">
      <c r="A9">
        <v>93837</v>
      </c>
      <c r="B9" t="s">
        <v>100</v>
      </c>
      <c r="C9" t="s">
        <v>101</v>
      </c>
      <c r="D9">
        <v>92</v>
      </c>
      <c r="E9">
        <v>88</v>
      </c>
      <c r="F9">
        <v>70</v>
      </c>
      <c r="G9">
        <v>84</v>
      </c>
      <c r="H9">
        <f>AVERAGE(Table212[[#This Row],[Math]:[P.E.]])</f>
        <v>83.5</v>
      </c>
      <c r="J9" s="1" t="str">
        <f t="shared" si="0"/>
        <v/>
      </c>
      <c r="K9" s="1" t="str">
        <f t="shared" si="1"/>
        <v>HR</v>
      </c>
      <c r="L9" s="1" t="str">
        <f t="shared" si="2"/>
        <v/>
      </c>
      <c r="M9" s="1" t="str">
        <f t="shared" si="3"/>
        <v/>
      </c>
      <c r="O9" s="9" t="s">
        <v>120</v>
      </c>
      <c r="P9" s="9">
        <v>0</v>
      </c>
      <c r="Q9" s="9">
        <v>60</v>
      </c>
    </row>
    <row r="10" spans="1:17" x14ac:dyDescent="0.25">
      <c r="A10">
        <v>82729</v>
      </c>
      <c r="B10" t="s">
        <v>37</v>
      </c>
      <c r="C10" t="s">
        <v>89</v>
      </c>
      <c r="D10">
        <v>38</v>
      </c>
      <c r="E10">
        <v>60</v>
      </c>
      <c r="F10">
        <v>70</v>
      </c>
      <c r="G10">
        <v>58</v>
      </c>
      <c r="H10">
        <f>AVERAGE(Table212[[#This Row],[Math]:[P.E.]])</f>
        <v>56.5</v>
      </c>
      <c r="J10" s="1" t="str">
        <f t="shared" si="0"/>
        <v/>
      </c>
      <c r="K10" s="1" t="str">
        <f t="shared" si="1"/>
        <v/>
      </c>
      <c r="L10" s="1" t="str">
        <f t="shared" si="2"/>
        <v/>
      </c>
      <c r="M10" s="1" t="str">
        <f t="shared" si="3"/>
        <v>follow up</v>
      </c>
      <c r="O10" s="9"/>
      <c r="P10" s="9"/>
      <c r="Q10" s="9"/>
    </row>
    <row r="11" spans="1:17" x14ac:dyDescent="0.25">
      <c r="A11">
        <v>93822</v>
      </c>
      <c r="B11" t="s">
        <v>97</v>
      </c>
      <c r="C11" t="s">
        <v>59</v>
      </c>
      <c r="D11">
        <v>67</v>
      </c>
      <c r="E11">
        <v>89</v>
      </c>
      <c r="F11">
        <v>75</v>
      </c>
      <c r="G11">
        <v>75</v>
      </c>
      <c r="H11">
        <f>AVERAGE(Table212[[#This Row],[Math]:[P.E.]])</f>
        <v>76.5</v>
      </c>
      <c r="J11" s="1" t="str">
        <f t="shared" si="0"/>
        <v/>
      </c>
      <c r="K11" s="1" t="str">
        <f t="shared" si="1"/>
        <v/>
      </c>
      <c r="L11" s="1" t="str">
        <f t="shared" si="2"/>
        <v>OK</v>
      </c>
      <c r="M11" s="1" t="str">
        <f t="shared" si="3"/>
        <v/>
      </c>
      <c r="O11" s="9" t="s">
        <v>106</v>
      </c>
      <c r="P11" s="9">
        <v>0</v>
      </c>
      <c r="Q11" s="9">
        <v>60</v>
      </c>
    </row>
    <row r="12" spans="1:17" x14ac:dyDescent="0.25">
      <c r="A12">
        <v>83749</v>
      </c>
      <c r="B12" t="s">
        <v>37</v>
      </c>
      <c r="C12" t="s">
        <v>90</v>
      </c>
      <c r="D12">
        <v>82</v>
      </c>
      <c r="E12">
        <v>55</v>
      </c>
      <c r="F12">
        <v>88</v>
      </c>
      <c r="G12">
        <v>90</v>
      </c>
      <c r="H12">
        <f>AVERAGE(Table212[[#This Row],[Math]:[P.E.]])</f>
        <v>78.75</v>
      </c>
      <c r="J12" s="1" t="str">
        <f t="shared" si="0"/>
        <v/>
      </c>
      <c r="K12" s="1" t="str">
        <f t="shared" si="1"/>
        <v/>
      </c>
      <c r="L12" s="1" t="str">
        <f t="shared" si="2"/>
        <v>OK</v>
      </c>
      <c r="M12" s="1" t="str">
        <f t="shared" si="3"/>
        <v/>
      </c>
    </row>
    <row r="13" spans="1:17" x14ac:dyDescent="0.25">
      <c r="A13">
        <v>38349</v>
      </c>
      <c r="B13" t="s">
        <v>81</v>
      </c>
      <c r="C13" t="s">
        <v>82</v>
      </c>
      <c r="D13">
        <v>95</v>
      </c>
      <c r="E13">
        <v>76</v>
      </c>
      <c r="F13">
        <v>92</v>
      </c>
      <c r="G13">
        <v>83</v>
      </c>
      <c r="H13">
        <f>AVERAGE(Table212[[#This Row],[Math]:[P.E.]])</f>
        <v>86.5</v>
      </c>
      <c r="J13" s="1" t="str">
        <f t="shared" si="0"/>
        <v>PHR</v>
      </c>
      <c r="K13" s="1" t="str">
        <f t="shared" si="1"/>
        <v/>
      </c>
      <c r="L13" s="1" t="str">
        <f t="shared" si="2"/>
        <v/>
      </c>
      <c r="M13" s="1" t="str">
        <f t="shared" si="3"/>
        <v/>
      </c>
    </row>
    <row r="14" spans="1:17" x14ac:dyDescent="0.25">
      <c r="A14">
        <v>18373</v>
      </c>
      <c r="B14" t="s">
        <v>68</v>
      </c>
      <c r="C14" t="s">
        <v>69</v>
      </c>
      <c r="D14">
        <v>53</v>
      </c>
      <c r="E14">
        <v>82</v>
      </c>
      <c r="F14">
        <v>75</v>
      </c>
      <c r="G14">
        <v>95</v>
      </c>
      <c r="H14">
        <f>AVERAGE(Table212[[#This Row],[Math]:[P.E.]])</f>
        <v>76.25</v>
      </c>
      <c r="J14" s="1" t="str">
        <f t="shared" si="0"/>
        <v/>
      </c>
      <c r="K14" s="1" t="str">
        <f t="shared" si="1"/>
        <v/>
      </c>
      <c r="L14" s="1" t="str">
        <f t="shared" si="2"/>
        <v>OK</v>
      </c>
      <c r="M14" s="1" t="str">
        <f t="shared" si="3"/>
        <v>follow up</v>
      </c>
    </row>
    <row r="15" spans="1:17" x14ac:dyDescent="0.25">
      <c r="A15">
        <v>38272</v>
      </c>
      <c r="B15" t="s">
        <v>40</v>
      </c>
      <c r="C15" t="s">
        <v>79</v>
      </c>
      <c r="D15">
        <v>65</v>
      </c>
      <c r="E15">
        <v>55</v>
      </c>
      <c r="F15">
        <v>68</v>
      </c>
      <c r="G15">
        <v>70</v>
      </c>
      <c r="H15">
        <f>AVERAGE(Table212[[#This Row],[Math]:[P.E.]])</f>
        <v>64.5</v>
      </c>
      <c r="J15" s="1" t="str">
        <f t="shared" si="0"/>
        <v/>
      </c>
      <c r="K15" s="1" t="str">
        <f t="shared" si="1"/>
        <v/>
      </c>
      <c r="L15" s="1" t="str">
        <f t="shared" si="2"/>
        <v>R</v>
      </c>
      <c r="M15" s="1" t="str">
        <f t="shared" si="3"/>
        <v/>
      </c>
    </row>
    <row r="16" spans="1:17" x14ac:dyDescent="0.25">
      <c r="A16">
        <v>29483</v>
      </c>
      <c r="B16" t="s">
        <v>77</v>
      </c>
      <c r="C16" t="s">
        <v>56</v>
      </c>
      <c r="D16">
        <v>87</v>
      </c>
      <c r="E16">
        <v>70</v>
      </c>
      <c r="F16">
        <v>91</v>
      </c>
      <c r="G16">
        <v>78</v>
      </c>
      <c r="H16">
        <f>AVERAGE(Table212[[#This Row],[Math]:[P.E.]])</f>
        <v>81.5</v>
      </c>
      <c r="J16" s="1" t="str">
        <f t="shared" si="0"/>
        <v/>
      </c>
      <c r="K16" s="1" t="str">
        <f t="shared" si="1"/>
        <v>HR</v>
      </c>
      <c r="L16" s="1" t="str">
        <f t="shared" si="2"/>
        <v/>
      </c>
      <c r="M16" s="1" t="str">
        <f t="shared" si="3"/>
        <v/>
      </c>
    </row>
    <row r="17" spans="1:13" x14ac:dyDescent="0.25">
      <c r="A17">
        <v>38392</v>
      </c>
      <c r="B17" t="s">
        <v>79</v>
      </c>
      <c r="C17" t="s">
        <v>53</v>
      </c>
      <c r="D17">
        <v>58</v>
      </c>
      <c r="E17">
        <v>57</v>
      </c>
      <c r="F17">
        <v>55</v>
      </c>
      <c r="G17">
        <v>69</v>
      </c>
      <c r="H17">
        <f>AVERAGE(Table212[[#This Row],[Math]:[P.E.]])</f>
        <v>59.75</v>
      </c>
      <c r="J17" s="1" t="str">
        <f t="shared" si="0"/>
        <v/>
      </c>
      <c r="K17" s="1" t="str">
        <f t="shared" si="1"/>
        <v/>
      </c>
      <c r="L17" s="1" t="str">
        <f t="shared" si="2"/>
        <v/>
      </c>
      <c r="M17" s="1" t="str">
        <f t="shared" si="3"/>
        <v>follow up</v>
      </c>
    </row>
    <row r="18" spans="1:13" x14ac:dyDescent="0.25">
      <c r="A18">
        <v>83784</v>
      </c>
      <c r="B18" t="s">
        <v>91</v>
      </c>
      <c r="C18" t="s">
        <v>92</v>
      </c>
      <c r="D18">
        <v>78</v>
      </c>
      <c r="E18">
        <v>87</v>
      </c>
      <c r="F18">
        <v>82</v>
      </c>
      <c r="G18">
        <v>95</v>
      </c>
      <c r="H18">
        <f>AVERAGE(Table212[[#This Row],[Math]:[P.E.]])</f>
        <v>85.5</v>
      </c>
      <c r="J18" s="1" t="str">
        <f t="shared" si="0"/>
        <v>PHR</v>
      </c>
      <c r="K18" s="1" t="str">
        <f t="shared" si="1"/>
        <v/>
      </c>
      <c r="L18" s="1" t="str">
        <f t="shared" si="2"/>
        <v/>
      </c>
      <c r="M18" s="1" t="str">
        <f t="shared" si="3"/>
        <v/>
      </c>
    </row>
    <row r="19" spans="1:13" x14ac:dyDescent="0.25">
      <c r="A19">
        <v>73623</v>
      </c>
      <c r="B19" t="s">
        <v>87</v>
      </c>
      <c r="C19" t="s">
        <v>88</v>
      </c>
      <c r="D19">
        <v>83</v>
      </c>
      <c r="E19">
        <v>91</v>
      </c>
      <c r="F19">
        <v>84</v>
      </c>
      <c r="G19">
        <v>75</v>
      </c>
      <c r="H19">
        <f>AVERAGE(Table212[[#This Row],[Math]:[P.E.]])</f>
        <v>83.25</v>
      </c>
      <c r="J19" s="1" t="str">
        <f t="shared" si="0"/>
        <v/>
      </c>
      <c r="K19" s="1" t="str">
        <f t="shared" si="1"/>
        <v>HR</v>
      </c>
      <c r="L19" s="1" t="str">
        <f t="shared" si="2"/>
        <v/>
      </c>
      <c r="M19" s="1" t="str">
        <f t="shared" si="3"/>
        <v/>
      </c>
    </row>
    <row r="20" spans="1:13" x14ac:dyDescent="0.25">
      <c r="A20">
        <v>27438</v>
      </c>
      <c r="B20" t="s">
        <v>74</v>
      </c>
      <c r="C20" t="s">
        <v>75</v>
      </c>
      <c r="D20">
        <v>90</v>
      </c>
      <c r="E20">
        <v>98</v>
      </c>
      <c r="F20">
        <v>66</v>
      </c>
      <c r="G20">
        <v>88</v>
      </c>
      <c r="H20">
        <f>AVERAGE(Table212[[#This Row],[Math]:[P.E.]])</f>
        <v>85.5</v>
      </c>
      <c r="J20" s="1" t="str">
        <f t="shared" si="0"/>
        <v>PHR</v>
      </c>
      <c r="K20" s="1" t="str">
        <f t="shared" si="1"/>
        <v/>
      </c>
      <c r="L20" s="1" t="str">
        <f t="shared" si="2"/>
        <v/>
      </c>
      <c r="M20" s="1" t="str">
        <f t="shared" si="3"/>
        <v/>
      </c>
    </row>
    <row r="21" spans="1:13" x14ac:dyDescent="0.25">
      <c r="A21">
        <v>93853</v>
      </c>
      <c r="B21" t="s">
        <v>102</v>
      </c>
      <c r="C21" t="s">
        <v>103</v>
      </c>
      <c r="D21">
        <v>75</v>
      </c>
      <c r="E21">
        <v>68</v>
      </c>
      <c r="F21">
        <v>85</v>
      </c>
      <c r="G21">
        <v>92</v>
      </c>
      <c r="H21">
        <f>AVERAGE(Table212[[#This Row],[Math]:[P.E.]])</f>
        <v>80</v>
      </c>
      <c r="J21" s="1" t="str">
        <f t="shared" si="0"/>
        <v/>
      </c>
      <c r="K21" s="1" t="str">
        <f t="shared" si="1"/>
        <v/>
      </c>
      <c r="L21" s="1" t="str">
        <f t="shared" si="2"/>
        <v/>
      </c>
      <c r="M21" s="1" t="str">
        <f t="shared" si="3"/>
        <v/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7F33-266A-4D63-9363-BADE08D7AD68}">
  <dimension ref="A1:F9"/>
  <sheetViews>
    <sheetView workbookViewId="0">
      <selection activeCell="H11" sqref="H11"/>
    </sheetView>
  </sheetViews>
  <sheetFormatPr defaultRowHeight="15" x14ac:dyDescent="0.25"/>
  <cols>
    <col min="1" max="1" width="15.140625" bestFit="1" customWidth="1"/>
    <col min="2" max="2" width="14.7109375" bestFit="1" customWidth="1"/>
    <col min="3" max="3" width="16.5703125" bestFit="1" customWidth="1"/>
    <col min="4" max="4" width="17" bestFit="1" customWidth="1"/>
    <col min="5" max="5" width="24.42578125" bestFit="1" customWidth="1"/>
    <col min="6" max="6" width="28.5703125" bestFit="1" customWidth="1"/>
  </cols>
  <sheetData>
    <row r="1" spans="1:6" x14ac:dyDescent="0.25">
      <c r="A1" s="10" t="s">
        <v>121</v>
      </c>
      <c r="B1" s="10" t="s">
        <v>2</v>
      </c>
      <c r="C1" s="10" t="s">
        <v>122</v>
      </c>
      <c r="D1" s="10" t="s">
        <v>123</v>
      </c>
      <c r="E1" s="10" t="s">
        <v>124</v>
      </c>
      <c r="F1" t="s">
        <v>125</v>
      </c>
    </row>
    <row r="2" spans="1:6" x14ac:dyDescent="0.25">
      <c r="A2" t="s">
        <v>40</v>
      </c>
      <c r="B2" t="s">
        <v>41</v>
      </c>
      <c r="C2" t="str">
        <f t="shared" ref="C2:C9" si="0">CONCATENATE(A2,B2)</f>
        <v>MikeNims</v>
      </c>
      <c r="D2" t="str">
        <f t="shared" ref="D2:D9" si="1">CONCATENATE(A2," ",B2)</f>
        <v>Mike Nims</v>
      </c>
      <c r="E2" t="str">
        <f t="shared" ref="E2:E9" si="2">CONCATENATE(A2,","," ",B2)</f>
        <v>Mike, Nims</v>
      </c>
      <c r="F2" t="str">
        <f t="shared" ref="F2:F9" si="3">CONCATENATE(A2,".",B2,"@","gmail.com")</f>
        <v>Mike.Nims@gmail.com</v>
      </c>
    </row>
    <row r="3" spans="1:6" x14ac:dyDescent="0.25">
      <c r="A3" t="s">
        <v>43</v>
      </c>
      <c r="B3" t="s">
        <v>44</v>
      </c>
      <c r="C3" t="str">
        <f t="shared" si="0"/>
        <v>AlexMoore</v>
      </c>
      <c r="D3" t="str">
        <f t="shared" si="1"/>
        <v>Alex Moore</v>
      </c>
      <c r="E3" t="str">
        <f t="shared" si="2"/>
        <v>Alex, Moore</v>
      </c>
      <c r="F3" t="str">
        <f t="shared" si="3"/>
        <v>Alex.Moore@gmail.com</v>
      </c>
    </row>
    <row r="4" spans="1:6" x14ac:dyDescent="0.25">
      <c r="A4" t="s">
        <v>46</v>
      </c>
      <c r="B4" t="s">
        <v>47</v>
      </c>
      <c r="C4" t="str">
        <f t="shared" si="0"/>
        <v>KevinAmos</v>
      </c>
      <c r="D4" t="str">
        <f t="shared" si="1"/>
        <v>Kevin Amos</v>
      </c>
      <c r="E4" t="str">
        <f t="shared" si="2"/>
        <v>Kevin, Amos</v>
      </c>
      <c r="F4" t="str">
        <f t="shared" si="3"/>
        <v>Kevin.Amos@gmail.com</v>
      </c>
    </row>
    <row r="5" spans="1:6" x14ac:dyDescent="0.25">
      <c r="A5" t="s">
        <v>49</v>
      </c>
      <c r="B5" t="s">
        <v>50</v>
      </c>
      <c r="C5" t="str">
        <f t="shared" si="0"/>
        <v>SoyabSouthern</v>
      </c>
      <c r="D5" t="str">
        <f t="shared" si="1"/>
        <v>Soyab Southern</v>
      </c>
      <c r="E5" t="str">
        <f t="shared" si="2"/>
        <v>Soyab, Southern</v>
      </c>
      <c r="F5" t="str">
        <f t="shared" si="3"/>
        <v>Soyab.Southern@gmail.com</v>
      </c>
    </row>
    <row r="6" spans="1:6" x14ac:dyDescent="0.25">
      <c r="A6" t="s">
        <v>52</v>
      </c>
      <c r="B6" t="s">
        <v>53</v>
      </c>
      <c r="C6" t="str">
        <f t="shared" si="0"/>
        <v>RhondaNieto</v>
      </c>
      <c r="D6" t="str">
        <f t="shared" si="1"/>
        <v>Rhonda Nieto</v>
      </c>
      <c r="E6" t="str">
        <f t="shared" si="2"/>
        <v>Rhonda, Nieto</v>
      </c>
      <c r="F6" t="str">
        <f t="shared" si="3"/>
        <v>Rhonda.Nieto@gmail.com</v>
      </c>
    </row>
    <row r="7" spans="1:6" x14ac:dyDescent="0.25">
      <c r="A7" t="s">
        <v>55</v>
      </c>
      <c r="B7" t="s">
        <v>56</v>
      </c>
      <c r="C7" t="str">
        <f t="shared" si="0"/>
        <v>SubodhMontaner</v>
      </c>
      <c r="D7" t="str">
        <f t="shared" si="1"/>
        <v>Subodh Montaner</v>
      </c>
      <c r="E7" t="str">
        <f t="shared" si="2"/>
        <v>Subodh, Montaner</v>
      </c>
      <c r="F7" t="str">
        <f t="shared" si="3"/>
        <v>Subodh.Montaner@gmail.com</v>
      </c>
    </row>
    <row r="8" spans="1:6" x14ac:dyDescent="0.25">
      <c r="A8" t="s">
        <v>58</v>
      </c>
      <c r="B8" t="s">
        <v>59</v>
      </c>
      <c r="C8" t="str">
        <f t="shared" si="0"/>
        <v>EvanJaffe</v>
      </c>
      <c r="D8" t="str">
        <f t="shared" si="1"/>
        <v>Evan Jaffe</v>
      </c>
      <c r="E8" t="str">
        <f t="shared" si="2"/>
        <v>Evan, Jaffe</v>
      </c>
      <c r="F8" t="str">
        <f t="shared" si="3"/>
        <v>Evan.Jaffe@gmail.com</v>
      </c>
    </row>
    <row r="9" spans="1:6" x14ac:dyDescent="0.25">
      <c r="A9" t="s">
        <v>40</v>
      </c>
      <c r="B9" t="s">
        <v>61</v>
      </c>
      <c r="C9" t="str">
        <f t="shared" si="0"/>
        <v>MikeBassett</v>
      </c>
      <c r="D9" t="str">
        <f t="shared" si="1"/>
        <v>Mike Bassett</v>
      </c>
      <c r="E9" t="str">
        <f t="shared" si="2"/>
        <v>Mike, Bassett</v>
      </c>
      <c r="F9" t="str">
        <f t="shared" si="3"/>
        <v>Mike.Bassett@gmail.com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Customer_Data</vt:lpstr>
      <vt:lpstr>Cleaned</vt:lpstr>
      <vt:lpstr>Vlook_Up</vt:lpstr>
      <vt:lpstr>Hlook_Up</vt:lpstr>
      <vt:lpstr>Index&amp;Match</vt:lpstr>
      <vt:lpstr>IF</vt:lpstr>
      <vt:lpstr>Concatenate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2022-03-18T07:19:02Z</dcterms:created>
  <dcterms:modified xsi:type="dcterms:W3CDTF">2022-03-18T07:51:50Z</dcterms:modified>
</cp:coreProperties>
</file>